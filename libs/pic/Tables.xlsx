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zeng/Library/CloudStorage/GoogleDrive-wz192@georgetown.edu/My Drive/GU/Teach/2026-01-Spring/GLOH-6604/gloh6604-s4/libs/pic/"/>
    </mc:Choice>
  </mc:AlternateContent>
  <xr:revisionPtr revIDLastSave="0" documentId="13_ncr:1_{1613D809-3542-BD41-8D15-44F6A6256B37}" xr6:coauthVersionLast="47" xr6:coauthVersionMax="47" xr10:uidLastSave="{00000000-0000-0000-0000-000000000000}"/>
  <bookViews>
    <workbookView xWindow="10360" yWindow="2360" windowWidth="28040" windowHeight="17180" activeTab="2" xr2:uid="{59114CB6-B9E4-014B-B257-84B053491F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B14" i="1"/>
  <c r="C9" i="1"/>
  <c r="I9" i="1"/>
  <c r="I5" i="1"/>
  <c r="I8" i="1" s="1"/>
  <c r="I10" i="1" l="1"/>
</calcChain>
</file>

<file path=xl/sharedStrings.xml><?xml version="1.0" encoding="utf-8"?>
<sst xmlns="http://schemas.openxmlformats.org/spreadsheetml/2006/main" count="91" uniqueCount="63">
  <si>
    <t xml:space="preserve">Value </t>
  </si>
  <si>
    <t>Parameters</t>
  </si>
  <si>
    <t>Treatment of dengue</t>
  </si>
  <si>
    <t>Incidence</t>
  </si>
  <si>
    <t>Quality of life</t>
  </si>
  <si>
    <t>Discount rate</t>
  </si>
  <si>
    <t>Duration (days)</t>
  </si>
  <si>
    <t>Non-fatal case share</t>
  </si>
  <si>
    <t>Fatal case share</t>
  </si>
  <si>
    <t>Age at death</t>
  </si>
  <si>
    <t>Life years loss due to death</t>
  </si>
  <si>
    <t>Var</t>
  </si>
  <si>
    <t>c.vaccine</t>
  </si>
  <si>
    <t>c.treatment</t>
  </si>
  <si>
    <t>Inc</t>
  </si>
  <si>
    <t>p.non_fatal</t>
  </si>
  <si>
    <t>q.non_fatal</t>
  </si>
  <si>
    <t>d.non_fatal</t>
  </si>
  <si>
    <t>p.fatal</t>
  </si>
  <si>
    <t>age.death</t>
  </si>
  <si>
    <t>d.yll.fatal</t>
  </si>
  <si>
    <t>dr</t>
  </si>
  <si>
    <t>QALY per case</t>
  </si>
  <si>
    <t>u.daly</t>
  </si>
  <si>
    <t>YLD</t>
  </si>
  <si>
    <t>YLL</t>
  </si>
  <si>
    <t>Total</t>
  </si>
  <si>
    <t>Efficacy</t>
  </si>
  <si>
    <t>e.vac</t>
  </si>
  <si>
    <t>ICER</t>
  </si>
  <si>
    <t>Vaccine cost per dose</t>
  </si>
  <si>
    <t>Number of dose</t>
  </si>
  <si>
    <t>n.dose</t>
  </si>
  <si>
    <t>Treatment cost</t>
  </si>
  <si>
    <t>Perspective</t>
  </si>
  <si>
    <t>Cost component</t>
  </si>
  <si>
    <t>Status quo</t>
  </si>
  <si>
    <t>Vaccination program</t>
  </si>
  <si>
    <t>Health system related cost</t>
  </si>
  <si>
    <t>Vaccine cost including wastage</t>
  </si>
  <si>
    <t>359,100 (358,233-360,732)</t>
  </si>
  <si>
    <t>Service delivery cost in the program</t>
  </si>
  <si>
    <t>17,480 (17,466-17,587)</t>
  </si>
  <si>
    <t>Other program activity cost</t>
  </si>
  <si>
    <t>81,000 (80,000-82,000)</t>
  </si>
  <si>
    <t>Direct medical cost</t>
  </si>
  <si>
    <t>84,863 (81,119-91,485)</t>
  </si>
  <si>
    <t>40,895 (38,256-45,403)</t>
  </si>
  <si>
    <t>Subtotal (health system cost)</t>
  </si>
  <si>
    <t>498,475 (493,802 – 501,173)</t>
  </si>
  <si>
    <t>Additional cost from society perspective</t>
  </si>
  <si>
    <t>Direct non-medical cost</t>
  </si>
  <si>
    <t>82,002 (78,838-89,046)</t>
  </si>
  <si>
    <t>39,516 (36,557-43,582)</t>
  </si>
  <si>
    <t>Indirect cost</t>
  </si>
  <si>
    <t>69,003 (64,981-73,339)</t>
  </si>
  <si>
    <t>33,251 (29,394-35,169)</t>
  </si>
  <si>
    <t>Subtotal (additional cost)</t>
  </si>
  <si>
    <t>151,005 (142,274-160,768)</t>
  </si>
  <si>
    <t>72,767 (67,126-80,067)</t>
  </si>
  <si>
    <t>Total (Social cost)</t>
  </si>
  <si>
    <t>235,868 (216,172-244,403)</t>
  </si>
  <si>
    <t>571,242 (566,006-586,525)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</si>
</sst>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(* #,##0.000_);_(* \(#,##0.000\);_(* &quot;-&quot;??_);_(@_)"/>
    <numFmt numFmtId="168" formatCode="_(* #,##0_);_(* \(#,##0\);_(* &quot;-&quot;??_);_(@_)"/>
    <numFmt numFmtId="176" formatCode="_(* #,##0_);_(* \(#,##0\);_(* &quot;-&quot;?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.5"/>
      <color theme="1"/>
      <name val="DengXian"/>
      <family val="4"/>
      <charset val="134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9" fontId="0" fillId="0" borderId="0" xfId="0" applyNumberFormat="1"/>
    <xf numFmtId="10" fontId="0" fillId="0" borderId="0" xfId="0" applyNumberFormat="1"/>
    <xf numFmtId="43" fontId="0" fillId="0" borderId="0" xfId="1" applyFont="1"/>
    <xf numFmtId="165" fontId="0" fillId="0" borderId="0" xfId="1" applyNumberFormat="1" applyFont="1"/>
    <xf numFmtId="168" fontId="0" fillId="0" borderId="0" xfId="1" applyNumberFormat="1" applyFont="1"/>
    <xf numFmtId="176" fontId="0" fillId="0" borderId="0" xfId="0" applyNumberFormat="1"/>
    <xf numFmtId="168" fontId="0" fillId="0" borderId="0" xfId="0" applyNumberFormat="1"/>
    <xf numFmtId="3" fontId="0" fillId="0" borderId="0" xfId="0" applyNumberFormat="1"/>
    <xf numFmtId="1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604-342F-A045-B3FB-8414087FD82E}">
  <dimension ref="A1:I29"/>
  <sheetViews>
    <sheetView workbookViewId="0">
      <selection sqref="A1:C9"/>
    </sheetView>
  </sheetViews>
  <sheetFormatPr baseColWidth="10" defaultRowHeight="16" x14ac:dyDescent="0.2"/>
  <cols>
    <col min="1" max="1" width="11.5" customWidth="1"/>
    <col min="2" max="2" width="15.33203125" customWidth="1"/>
    <col min="3" max="3" width="11.5" bestFit="1" customWidth="1"/>
    <col min="4" max="4" width="20.33203125" bestFit="1" customWidth="1"/>
    <col min="7" max="7" width="24.83203125" customWidth="1"/>
  </cols>
  <sheetData>
    <row r="1" spans="1:9" x14ac:dyDescent="0.2">
      <c r="A1" t="s">
        <v>11</v>
      </c>
      <c r="B1" t="s">
        <v>1</v>
      </c>
      <c r="C1" t="s">
        <v>0</v>
      </c>
      <c r="G1" t="s">
        <v>1</v>
      </c>
      <c r="H1" t="s">
        <v>11</v>
      </c>
      <c r="I1" t="s">
        <v>0</v>
      </c>
    </row>
    <row r="2" spans="1:9" x14ac:dyDescent="0.2">
      <c r="A2" t="s">
        <v>12</v>
      </c>
      <c r="B2" t="s">
        <v>30</v>
      </c>
      <c r="C2">
        <v>20</v>
      </c>
      <c r="G2" t="s">
        <v>7</v>
      </c>
      <c r="H2" t="s">
        <v>15</v>
      </c>
      <c r="I2" s="2">
        <v>0.99950000000000006</v>
      </c>
    </row>
    <row r="3" spans="1:9" x14ac:dyDescent="0.2">
      <c r="A3" t="s">
        <v>32</v>
      </c>
      <c r="B3" t="s">
        <v>31</v>
      </c>
      <c r="C3">
        <v>3</v>
      </c>
      <c r="G3" t="s">
        <v>4</v>
      </c>
      <c r="H3" t="s">
        <v>16</v>
      </c>
      <c r="I3">
        <v>0.7</v>
      </c>
    </row>
    <row r="4" spans="1:9" x14ac:dyDescent="0.2">
      <c r="A4" t="s">
        <v>13</v>
      </c>
      <c r="B4" t="s">
        <v>2</v>
      </c>
      <c r="C4">
        <v>100</v>
      </c>
      <c r="G4" t="s">
        <v>6</v>
      </c>
      <c r="H4" t="s">
        <v>17</v>
      </c>
      <c r="I4">
        <v>26</v>
      </c>
    </row>
    <row r="5" spans="1:9" x14ac:dyDescent="0.2">
      <c r="A5" t="s">
        <v>14</v>
      </c>
      <c r="B5" t="s">
        <v>3</v>
      </c>
      <c r="C5" s="1">
        <v>0.02</v>
      </c>
      <c r="G5" t="s">
        <v>8</v>
      </c>
      <c r="H5" t="s">
        <v>18</v>
      </c>
      <c r="I5" s="2">
        <f>1-I2</f>
        <v>4.9999999999994493E-4</v>
      </c>
    </row>
    <row r="6" spans="1:9" x14ac:dyDescent="0.2">
      <c r="A6" t="s">
        <v>23</v>
      </c>
      <c r="B6" t="s">
        <v>22</v>
      </c>
      <c r="C6" s="4">
        <v>3.5000000000000003E-2</v>
      </c>
      <c r="G6" t="s">
        <v>9</v>
      </c>
      <c r="H6" t="s">
        <v>19</v>
      </c>
      <c r="I6">
        <v>25</v>
      </c>
    </row>
    <row r="7" spans="1:9" x14ac:dyDescent="0.2">
      <c r="A7" t="s">
        <v>28</v>
      </c>
      <c r="B7" t="s">
        <v>27</v>
      </c>
      <c r="C7" s="1">
        <v>0.6</v>
      </c>
      <c r="G7" t="s">
        <v>10</v>
      </c>
      <c r="H7" t="s">
        <v>20</v>
      </c>
      <c r="I7">
        <v>60</v>
      </c>
    </row>
    <row r="8" spans="1:9" x14ac:dyDescent="0.2">
      <c r="A8" t="s">
        <v>21</v>
      </c>
      <c r="B8" t="s">
        <v>5</v>
      </c>
      <c r="C8" s="1">
        <v>0.03</v>
      </c>
      <c r="G8" t="s">
        <v>25</v>
      </c>
      <c r="I8" s="4">
        <f>I5*((1-EXP(-C8*I7))/C8)</f>
        <v>1.3911685196305359E-2</v>
      </c>
    </row>
    <row r="9" spans="1:9" x14ac:dyDescent="0.2">
      <c r="A9" t="s">
        <v>29</v>
      </c>
      <c r="B9" t="s">
        <v>29</v>
      </c>
      <c r="C9" s="6">
        <f>(C2*C3-C4*C5*C7)/(C6*C5*C7)</f>
        <v>139999.99999999997</v>
      </c>
      <c r="G9" t="s">
        <v>24</v>
      </c>
      <c r="I9" s="4">
        <f>I2*(1-I3)*I4/365</f>
        <v>2.1359178082191784E-2</v>
      </c>
    </row>
    <row r="10" spans="1:9" x14ac:dyDescent="0.2">
      <c r="G10" t="s">
        <v>26</v>
      </c>
      <c r="I10" s="4">
        <f>I8+I9</f>
        <v>3.5270863278497142E-2</v>
      </c>
    </row>
    <row r="11" spans="1:9" x14ac:dyDescent="0.2">
      <c r="D11" s="3"/>
    </row>
    <row r="12" spans="1:9" x14ac:dyDescent="0.2">
      <c r="A12" t="s">
        <v>3</v>
      </c>
      <c r="B12" t="s">
        <v>29</v>
      </c>
    </row>
    <row r="13" spans="1:9" x14ac:dyDescent="0.2">
      <c r="A13" s="1">
        <v>0.01</v>
      </c>
      <c r="B13" s="5">
        <v>282857.14285714278</v>
      </c>
    </row>
    <row r="14" spans="1:9" x14ac:dyDescent="0.2">
      <c r="A14" s="1">
        <v>0.02</v>
      </c>
      <c r="B14" s="5">
        <f>140000</f>
        <v>140000</v>
      </c>
    </row>
    <row r="15" spans="1:9" x14ac:dyDescent="0.2">
      <c r="A15" s="1">
        <v>0.03</v>
      </c>
      <c r="B15" s="7">
        <v>92380.952380952382</v>
      </c>
    </row>
    <row r="16" spans="1:9" x14ac:dyDescent="0.2">
      <c r="A16" s="1">
        <v>0.04</v>
      </c>
      <c r="B16" s="8">
        <v>68571</v>
      </c>
    </row>
    <row r="17" spans="1:3" x14ac:dyDescent="0.2">
      <c r="A17" s="1">
        <v>0.05</v>
      </c>
      <c r="B17" s="8">
        <v>54286</v>
      </c>
    </row>
    <row r="20" spans="1:3" x14ac:dyDescent="0.2">
      <c r="A20" t="s">
        <v>3</v>
      </c>
      <c r="B20" t="s">
        <v>33</v>
      </c>
      <c r="C20" t="s">
        <v>29</v>
      </c>
    </row>
    <row r="21" spans="1:3" x14ac:dyDescent="0.2">
      <c r="A21" s="1">
        <v>0.01</v>
      </c>
      <c r="B21">
        <v>100</v>
      </c>
      <c r="C21" s="9">
        <v>282857.14285714278</v>
      </c>
    </row>
    <row r="22" spans="1:3" x14ac:dyDescent="0.2">
      <c r="A22" s="1">
        <v>0.02</v>
      </c>
      <c r="B22">
        <v>100</v>
      </c>
      <c r="C22" s="9">
        <v>140000</v>
      </c>
    </row>
    <row r="23" spans="1:3" x14ac:dyDescent="0.2">
      <c r="A23" s="1">
        <v>0.03</v>
      </c>
      <c r="B23">
        <v>100</v>
      </c>
      <c r="C23" s="9">
        <v>92380.952380952382</v>
      </c>
    </row>
    <row r="24" spans="1:3" x14ac:dyDescent="0.2">
      <c r="A24" s="1">
        <v>0.01</v>
      </c>
      <c r="B24">
        <v>200</v>
      </c>
      <c r="C24" s="8">
        <v>280000</v>
      </c>
    </row>
    <row r="25" spans="1:3" x14ac:dyDescent="0.2">
      <c r="A25" s="1">
        <v>0.02</v>
      </c>
      <c r="B25">
        <v>200</v>
      </c>
      <c r="C25" s="8">
        <v>137143</v>
      </c>
    </row>
    <row r="26" spans="1:3" x14ac:dyDescent="0.2">
      <c r="A26" s="1">
        <v>0.03</v>
      </c>
      <c r="B26">
        <v>200</v>
      </c>
      <c r="C26" s="8">
        <v>89524</v>
      </c>
    </row>
    <row r="27" spans="1:3" x14ac:dyDescent="0.2">
      <c r="A27" s="1">
        <v>0.01</v>
      </c>
      <c r="B27">
        <v>300</v>
      </c>
      <c r="C27" s="8">
        <v>277143</v>
      </c>
    </row>
    <row r="28" spans="1:3" x14ac:dyDescent="0.2">
      <c r="A28" s="1">
        <v>0.02</v>
      </c>
      <c r="B28">
        <v>300</v>
      </c>
      <c r="C28" s="8">
        <v>134286</v>
      </c>
    </row>
    <row r="29" spans="1:3" x14ac:dyDescent="0.2">
      <c r="A29" s="1">
        <v>0.03</v>
      </c>
      <c r="B29">
        <v>300</v>
      </c>
      <c r="C29" s="8">
        <v>86667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3ECD-1FE7-6F45-9624-C582BE45D8ED}">
  <dimension ref="A1:I29"/>
  <sheetViews>
    <sheetView workbookViewId="0">
      <selection activeCell="G11" sqref="G11"/>
    </sheetView>
  </sheetViews>
  <sheetFormatPr baseColWidth="10" defaultRowHeight="16" x14ac:dyDescent="0.2"/>
  <cols>
    <col min="1" max="1" width="11.5" customWidth="1"/>
    <col min="2" max="2" width="15.33203125" customWidth="1"/>
    <col min="3" max="3" width="11.5" bestFit="1" customWidth="1"/>
    <col min="4" max="4" width="20.33203125" bestFit="1" customWidth="1"/>
    <col min="7" max="7" width="24.83203125" customWidth="1"/>
  </cols>
  <sheetData>
    <row r="1" spans="1:9" x14ac:dyDescent="0.2">
      <c r="A1" t="s">
        <v>11</v>
      </c>
      <c r="B1" t="s">
        <v>1</v>
      </c>
      <c r="C1" t="s">
        <v>0</v>
      </c>
    </row>
    <row r="2" spans="1:9" x14ac:dyDescent="0.2">
      <c r="A2" t="s">
        <v>12</v>
      </c>
      <c r="B2" t="s">
        <v>30</v>
      </c>
      <c r="C2">
        <v>20</v>
      </c>
      <c r="I2" s="2"/>
    </row>
    <row r="3" spans="1:9" x14ac:dyDescent="0.2">
      <c r="A3" t="s">
        <v>32</v>
      </c>
      <c r="B3" t="s">
        <v>31</v>
      </c>
      <c r="C3">
        <v>3</v>
      </c>
    </row>
    <row r="4" spans="1:9" x14ac:dyDescent="0.2">
      <c r="A4" t="s">
        <v>13</v>
      </c>
      <c r="B4" t="s">
        <v>2</v>
      </c>
      <c r="C4">
        <v>100</v>
      </c>
    </row>
    <row r="5" spans="1:9" x14ac:dyDescent="0.2">
      <c r="A5" t="s">
        <v>14</v>
      </c>
      <c r="B5" t="s">
        <v>3</v>
      </c>
      <c r="C5" s="1">
        <v>0.02</v>
      </c>
      <c r="I5" s="2"/>
    </row>
    <row r="6" spans="1:9" x14ac:dyDescent="0.2">
      <c r="A6" t="s">
        <v>23</v>
      </c>
      <c r="B6" t="s">
        <v>22</v>
      </c>
      <c r="C6" s="4">
        <v>3.5000000000000003E-2</v>
      </c>
    </row>
    <row r="7" spans="1:9" x14ac:dyDescent="0.2">
      <c r="A7" t="s">
        <v>28</v>
      </c>
      <c r="B7" t="s">
        <v>27</v>
      </c>
      <c r="C7" s="1">
        <v>0.6</v>
      </c>
    </row>
    <row r="8" spans="1:9" x14ac:dyDescent="0.2">
      <c r="A8" t="s">
        <v>21</v>
      </c>
      <c r="B8" t="s">
        <v>5</v>
      </c>
      <c r="C8" s="1">
        <v>0.03</v>
      </c>
      <c r="I8" s="4"/>
    </row>
    <row r="9" spans="1:9" x14ac:dyDescent="0.2">
      <c r="A9" t="s">
        <v>29</v>
      </c>
      <c r="B9" t="s">
        <v>29</v>
      </c>
      <c r="C9" s="6">
        <f>(C2*C3-C4*C5*C7)/(C6*C5*C7)</f>
        <v>139999.99999999997</v>
      </c>
      <c r="I9" s="4"/>
    </row>
    <row r="10" spans="1:9" x14ac:dyDescent="0.2">
      <c r="I10" s="4"/>
    </row>
    <row r="11" spans="1:9" x14ac:dyDescent="0.2">
      <c r="D11" s="3"/>
    </row>
    <row r="13" spans="1:9" x14ac:dyDescent="0.2">
      <c r="A13" s="1"/>
      <c r="B13" s="5"/>
    </row>
    <row r="14" spans="1:9" x14ac:dyDescent="0.2">
      <c r="A14" s="1"/>
      <c r="B14" s="5"/>
    </row>
    <row r="15" spans="1:9" x14ac:dyDescent="0.2">
      <c r="A15" s="1"/>
      <c r="B15" s="7"/>
    </row>
    <row r="16" spans="1:9" x14ac:dyDescent="0.2">
      <c r="A16" s="1"/>
      <c r="B16" s="8"/>
    </row>
    <row r="17" spans="1:3" x14ac:dyDescent="0.2">
      <c r="A17" s="1"/>
      <c r="B17" s="8"/>
    </row>
    <row r="21" spans="1:3" x14ac:dyDescent="0.2">
      <c r="A21" s="1"/>
      <c r="C21" s="9"/>
    </row>
    <row r="22" spans="1:3" x14ac:dyDescent="0.2">
      <c r="A22" s="1"/>
      <c r="C22" s="9"/>
    </row>
    <row r="23" spans="1:3" x14ac:dyDescent="0.2">
      <c r="A23" s="1"/>
      <c r="C23" s="9"/>
    </row>
    <row r="24" spans="1:3" x14ac:dyDescent="0.2">
      <c r="A24" s="1"/>
      <c r="C24" s="8"/>
    </row>
    <row r="25" spans="1:3" x14ac:dyDescent="0.2">
      <c r="A25" s="1"/>
      <c r="C25" s="8"/>
    </row>
    <row r="26" spans="1:3" x14ac:dyDescent="0.2">
      <c r="A26" s="1"/>
      <c r="C26" s="8"/>
    </row>
    <row r="27" spans="1:3" x14ac:dyDescent="0.2">
      <c r="A27" s="1"/>
      <c r="C27" s="8"/>
    </row>
    <row r="28" spans="1:3" x14ac:dyDescent="0.2">
      <c r="A28" s="1"/>
      <c r="C28" s="8"/>
    </row>
    <row r="29" spans="1:3" x14ac:dyDescent="0.2">
      <c r="A29" s="1"/>
      <c r="C2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64D8-FAAF-BA46-BAA4-FC8E29EDFDFA}">
  <dimension ref="A1:D10"/>
  <sheetViews>
    <sheetView tabSelected="1" workbookViewId="0">
      <selection activeCell="K6" sqref="K6"/>
    </sheetView>
  </sheetViews>
  <sheetFormatPr baseColWidth="10" defaultRowHeight="16" x14ac:dyDescent="0.2"/>
  <cols>
    <col min="4" max="4" width="18.1640625" customWidth="1"/>
  </cols>
  <sheetData>
    <row r="1" spans="1:4" ht="29" thickBot="1" x14ac:dyDescent="0.25">
      <c r="A1" s="10" t="s">
        <v>34</v>
      </c>
      <c r="B1" s="11" t="s">
        <v>35</v>
      </c>
      <c r="C1" s="11" t="s">
        <v>36</v>
      </c>
      <c r="D1" s="10" t="s">
        <v>37</v>
      </c>
    </row>
    <row r="2" spans="1:4" ht="42" x14ac:dyDescent="0.2">
      <c r="A2" s="25" t="s">
        <v>38</v>
      </c>
      <c r="B2" s="13" t="s">
        <v>39</v>
      </c>
      <c r="C2" s="14">
        <v>0</v>
      </c>
      <c r="D2" s="15" t="s">
        <v>40</v>
      </c>
    </row>
    <row r="3" spans="1:4" ht="42" x14ac:dyDescent="0.2">
      <c r="A3" s="24"/>
      <c r="B3" s="13" t="s">
        <v>41</v>
      </c>
      <c r="C3" s="14">
        <v>0</v>
      </c>
      <c r="D3" s="15" t="s">
        <v>42</v>
      </c>
    </row>
    <row r="4" spans="1:4" ht="42" x14ac:dyDescent="0.2">
      <c r="A4" s="24"/>
      <c r="B4" s="13" t="s">
        <v>43</v>
      </c>
      <c r="C4" s="14">
        <v>0</v>
      </c>
      <c r="D4" s="15" t="s">
        <v>44</v>
      </c>
    </row>
    <row r="5" spans="1:4" ht="43" thickBot="1" x14ac:dyDescent="0.25">
      <c r="A5" s="26"/>
      <c r="B5" s="16" t="s">
        <v>45</v>
      </c>
      <c r="C5" s="17" t="s">
        <v>46</v>
      </c>
      <c r="D5" s="18" t="s">
        <v>47</v>
      </c>
    </row>
    <row r="6" spans="1:4" ht="43" thickBot="1" x14ac:dyDescent="0.25">
      <c r="A6" s="12" t="s">
        <v>48</v>
      </c>
      <c r="B6" s="13"/>
      <c r="C6" s="14" t="s">
        <v>46</v>
      </c>
      <c r="D6" s="15" t="s">
        <v>49</v>
      </c>
    </row>
    <row r="7" spans="1:4" ht="42" x14ac:dyDescent="0.2">
      <c r="A7" s="25" t="s">
        <v>50</v>
      </c>
      <c r="B7" s="19" t="s">
        <v>51</v>
      </c>
      <c r="C7" s="20" t="s">
        <v>52</v>
      </c>
      <c r="D7" s="21" t="s">
        <v>53</v>
      </c>
    </row>
    <row r="8" spans="1:4" ht="43" thickBot="1" x14ac:dyDescent="0.25">
      <c r="A8" s="26"/>
      <c r="B8" s="16" t="s">
        <v>54</v>
      </c>
      <c r="C8" s="17" t="s">
        <v>55</v>
      </c>
      <c r="D8" s="18" t="s">
        <v>56</v>
      </c>
    </row>
    <row r="9" spans="1:4" ht="43" thickBot="1" x14ac:dyDescent="0.25">
      <c r="A9" s="22" t="s">
        <v>57</v>
      </c>
      <c r="B9" s="16"/>
      <c r="C9" s="17" t="s">
        <v>58</v>
      </c>
      <c r="D9" s="18" t="s">
        <v>59</v>
      </c>
    </row>
    <row r="10" spans="1:4" ht="43" thickBot="1" x14ac:dyDescent="0.25">
      <c r="A10" s="22" t="s">
        <v>60</v>
      </c>
      <c r="B10" s="23"/>
      <c r="C10" s="17" t="s">
        <v>61</v>
      </c>
      <c r="D10" s="18" t="s">
        <v>62</v>
      </c>
    </row>
  </sheetData>
  <mergeCells count="2">
    <mergeCell ref="A2:A5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Zeng</dc:creator>
  <cp:lastModifiedBy>Wu Zeng</cp:lastModifiedBy>
  <dcterms:created xsi:type="dcterms:W3CDTF">2025-12-23T17:57:01Z</dcterms:created>
  <dcterms:modified xsi:type="dcterms:W3CDTF">2025-12-25T02:05:43Z</dcterms:modified>
</cp:coreProperties>
</file>